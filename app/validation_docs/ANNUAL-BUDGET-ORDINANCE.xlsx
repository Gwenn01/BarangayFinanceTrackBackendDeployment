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ample Annual Budget"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<sst xmlns="http://schemas.openxmlformats.org/spreadsheetml/2006/main" count="166" uniqueCount="150">
  <si>
    <t>Annex G</t>
  </si>
  <si>
    <t xml:space="preserve"> Barangay Annual Budget FY 2025</t>
  </si>
  <si>
    <t>Barangay San Agustin</t>
  </si>
  <si>
    <t>Municipality of Iba</t>
  </si>
  <si>
    <t>Province of Zambales</t>
  </si>
  <si>
    <t>(Accounts provided are based on COA Manual)</t>
  </si>
  <si>
    <t>Object of Expenditure</t>
  </si>
  <si>
    <t>Account Code</t>
  </si>
  <si>
    <t>Budget Year Expenditures (Proposed)</t>
  </si>
  <si>
    <t>Expected Results</t>
  </si>
  <si>
    <t>Performance Indicator</t>
  </si>
  <si>
    <t>PART I. RECEIPT PROGRAM</t>
  </si>
  <si>
    <t xml:space="preserve">Tax Revenue  </t>
  </si>
  <si>
    <t>4 01</t>
  </si>
  <si>
    <t>100% Collection</t>
  </si>
  <si>
    <t>100 Percent of Amount Collected and Received</t>
  </si>
  <si>
    <t>Shares in Real Property Tax</t>
  </si>
  <si>
    <t>01 010</t>
  </si>
  <si>
    <t>Tax on Sand, Gravel &amp; Other Quarry Resources</t>
  </si>
  <si>
    <t>02 020</t>
  </si>
  <si>
    <t>Other Taxes (CTC)</t>
  </si>
  <si>
    <t>04 990</t>
  </si>
  <si>
    <t>Share from National Taxes</t>
  </si>
  <si>
    <t>National Tax Allotment</t>
  </si>
  <si>
    <t>04 010</t>
  </si>
  <si>
    <t>Service and Business Income</t>
  </si>
  <si>
    <t xml:space="preserve">4 04 </t>
  </si>
  <si>
    <t>Clearances and Certifications</t>
  </si>
  <si>
    <t>Other Service Income</t>
  </si>
  <si>
    <t>01 990</t>
  </si>
  <si>
    <t>Assistance and Subsidy</t>
  </si>
  <si>
    <t>4 02</t>
  </si>
  <si>
    <t>Subsidy from LGUs</t>
  </si>
  <si>
    <t>01 020</t>
  </si>
  <si>
    <t xml:space="preserve">TOTAL ESTIMATED FUNDS AVAILABLE </t>
  </si>
  <si>
    <t>PART II. EXPENDITURE PROGRAM</t>
  </si>
  <si>
    <t>GENERAL ADMINISTRATION PROGRAM (GAP):</t>
  </si>
  <si>
    <t>Current Operating Expenditures</t>
  </si>
  <si>
    <t>Administration and Housekeeping Support Services Provided</t>
  </si>
  <si>
    <t>Personal Services (PS)</t>
  </si>
  <si>
    <t>5 01</t>
  </si>
  <si>
    <t>Honoraria</t>
  </si>
  <si>
    <t>02 050</t>
  </si>
  <si>
    <t>Cash Gift</t>
  </si>
  <si>
    <t>02 070</t>
  </si>
  <si>
    <t>Mid-Year Bonus</t>
  </si>
  <si>
    <t>02 140a</t>
  </si>
  <si>
    <t>Year-End Bonus</t>
  </si>
  <si>
    <t>02 060</t>
  </si>
  <si>
    <t>Other Personnel Benefits</t>
  </si>
  <si>
    <t>5 01 04</t>
  </si>
  <si>
    <t>a. Annual Leave Benefits</t>
  </si>
  <si>
    <t>04 030</t>
  </si>
  <si>
    <t>b. Productivity Enhancement Incentive</t>
  </si>
  <si>
    <t>TOTAL PS</t>
  </si>
  <si>
    <t>Maintenance &amp; Other Operating Expenses (MOOE)</t>
  </si>
  <si>
    <t>Traveling Expenses - Local</t>
  </si>
  <si>
    <t>5 02 01 010</t>
  </si>
  <si>
    <t>Effective Administration of Barangay Government Operations</t>
  </si>
  <si>
    <t>Training Expenses</t>
  </si>
  <si>
    <t>5 02 02 010</t>
  </si>
  <si>
    <t>Office Supplies Expenses</t>
  </si>
  <si>
    <t>5 02 03 010</t>
  </si>
  <si>
    <t>Accountable Forms Expenses</t>
  </si>
  <si>
    <t>5 02 03 020</t>
  </si>
  <si>
    <t>Electricity Expenses</t>
  </si>
  <si>
    <t>5 02 04 020</t>
  </si>
  <si>
    <t>Auditing Services</t>
  </si>
  <si>
    <t>5 02 07 010</t>
  </si>
  <si>
    <t>Other General Services</t>
  </si>
  <si>
    <t>5 02 08 020</t>
  </si>
  <si>
    <t>Other Professional Services</t>
  </si>
  <si>
    <t>508-07-990</t>
  </si>
  <si>
    <t>Representation Expense</t>
  </si>
  <si>
    <t>5 02 99 020</t>
  </si>
  <si>
    <t>Fidelity Bond Premuims</t>
  </si>
  <si>
    <t>5 02 11 010</t>
  </si>
  <si>
    <t>Repairs and Maintenance</t>
  </si>
  <si>
    <t xml:space="preserve">Transportation Equipment </t>
  </si>
  <si>
    <t xml:space="preserve"> 5 02 09 050</t>
  </si>
  <si>
    <t>Waste Segregation Managements</t>
  </si>
  <si>
    <t>Janitorial Services</t>
  </si>
  <si>
    <t>Other Infrastructure Assets</t>
  </si>
  <si>
    <t>52-09-020</t>
  </si>
  <si>
    <t>Fuel ,oil and Lubricant</t>
  </si>
  <si>
    <t>5 02 07 990</t>
  </si>
  <si>
    <t>Other MOOE</t>
  </si>
  <si>
    <t>5 02 99 990</t>
  </si>
  <si>
    <t>Insurance Premium</t>
  </si>
  <si>
    <t>502-08-030</t>
  </si>
  <si>
    <t>Discretionary Fund</t>
  </si>
  <si>
    <t>Membership Dues and Contributions to Organizations</t>
  </si>
  <si>
    <t>5 02 99 050</t>
  </si>
  <si>
    <t>Donations</t>
  </si>
  <si>
    <t>5 02 99 070</t>
  </si>
  <si>
    <t>TOTAL MOOE</t>
  </si>
  <si>
    <t>Capital Outlay (CO)</t>
  </si>
  <si>
    <t>Land and Buildings</t>
  </si>
  <si>
    <t>IT Equipment</t>
  </si>
  <si>
    <t>Furnitures</t>
  </si>
  <si>
    <t>TOTAL CO</t>
  </si>
  <si>
    <t>Special Purpose Appropriations (SPA)</t>
  </si>
  <si>
    <t>Appropriation for Debt Service</t>
  </si>
  <si>
    <t>Appropriation for SK</t>
  </si>
  <si>
    <t>Other Authorized SPAs</t>
  </si>
  <si>
    <t>TOTAL SPA</t>
  </si>
  <si>
    <t xml:space="preserve">TOTAL GENERAL ADMINISTRATION PROGRAM </t>
  </si>
  <si>
    <t xml:space="preserve">BASIC SERVICES AND FACILITIES PROGRAM </t>
  </si>
  <si>
    <r>
      <rPr>
        <sz val="10"/>
        <color theme="1"/>
        <rFont val="Arial Narrow"/>
        <charset val="134"/>
      </rPr>
      <t xml:space="preserve">a. </t>
    </r>
    <r>
      <rPr>
        <u/>
        <sz val="10"/>
        <color theme="1"/>
        <rFont val="Arial Narrow"/>
        <charset val="134"/>
      </rPr>
      <t xml:space="preserve">Day Care </t>
    </r>
  </si>
  <si>
    <t>MOOE</t>
  </si>
  <si>
    <t>Subsidy to Day Care Worker</t>
  </si>
  <si>
    <t>Increased number of pre-schoolers enrolled in Day Care Centers</t>
  </si>
  <si>
    <t>100 Percent increase in number of enrolles in the Day Care Center</t>
  </si>
  <si>
    <t>Total</t>
  </si>
  <si>
    <r>
      <rPr>
        <sz val="10"/>
        <color theme="1"/>
        <rFont val="Arial Narrow"/>
        <charset val="134"/>
      </rPr>
      <t xml:space="preserve">b. </t>
    </r>
    <r>
      <rPr>
        <u/>
        <sz val="10"/>
        <color theme="1"/>
        <rFont val="Arial Narrow"/>
        <charset val="134"/>
      </rPr>
      <t>Health and Nutrition</t>
    </r>
  </si>
  <si>
    <t>Subsidy to BHW's</t>
  </si>
  <si>
    <t>Improvement of health services</t>
  </si>
  <si>
    <t>Ninety Percent  decrease in incidence of common diseases.   1,500  of patients served in Health Center</t>
  </si>
  <si>
    <r>
      <rPr>
        <sz val="10"/>
        <color theme="1"/>
        <rFont val="Arial Narrow"/>
        <charset val="134"/>
      </rPr>
      <t xml:space="preserve">c. </t>
    </r>
    <r>
      <rPr>
        <u/>
        <sz val="10"/>
        <color theme="1"/>
        <rFont val="Arial Narrow"/>
        <charset val="134"/>
      </rPr>
      <t>Peace and Order (includes BADAC)</t>
    </r>
  </si>
  <si>
    <t>Susidy to B.P.A.T.S.</t>
  </si>
  <si>
    <t>Peaceful community</t>
  </si>
  <si>
    <t>100%  decrease of crime rate in the barangay</t>
  </si>
  <si>
    <r>
      <rPr>
        <sz val="10"/>
        <color theme="1"/>
        <rFont val="Arial Narrow"/>
        <charset val="134"/>
      </rPr>
      <t xml:space="preserve">e. </t>
    </r>
    <r>
      <rPr>
        <u/>
        <sz val="10"/>
        <color theme="1"/>
        <rFont val="Arial Narrow"/>
        <charset val="134"/>
      </rPr>
      <t>Katarungang Pambarangay</t>
    </r>
  </si>
  <si>
    <t>Subsidy to Lupon Members</t>
  </si>
  <si>
    <t>100% of disputes/cases resolved</t>
  </si>
  <si>
    <r>
      <rPr>
        <sz val="10"/>
        <color theme="1"/>
        <rFont val="Arial Narrow"/>
        <charset val="134"/>
      </rPr>
      <t xml:space="preserve">f. </t>
    </r>
    <r>
      <rPr>
        <u/>
        <sz val="10"/>
        <color theme="1"/>
        <rFont val="Arial Narrow"/>
        <charset val="134"/>
      </rPr>
      <t>Infrastructure</t>
    </r>
  </si>
  <si>
    <t xml:space="preserve">   20% Development Fund</t>
  </si>
  <si>
    <t>Improved facilities in the barangay</t>
  </si>
  <si>
    <t>Four  of buildings repaired/rehabilitated         Canal constructed and rehabilitated</t>
  </si>
  <si>
    <r>
      <rPr>
        <sz val="10"/>
        <color theme="1"/>
        <rFont val="Arial Narrow"/>
        <charset val="134"/>
      </rPr>
      <t xml:space="preserve">g. </t>
    </r>
    <r>
      <rPr>
        <u/>
        <sz val="10"/>
        <color theme="1"/>
        <rFont val="Arial Narrow"/>
        <charset val="134"/>
      </rPr>
      <t>BDRRMF</t>
    </r>
  </si>
  <si>
    <t xml:space="preserve">  </t>
  </si>
  <si>
    <t>Resilient and disaster prepared community</t>
  </si>
  <si>
    <t>QRF</t>
  </si>
  <si>
    <t xml:space="preserve">1200 household beneficiaries of relief goods. </t>
  </si>
  <si>
    <t>Disaster Preparedness, Prevention &amp; Mitigation, Response, Rehabilitation &amp; Recovery</t>
  </si>
  <si>
    <t>Decrease in number of casualties during calamities</t>
  </si>
  <si>
    <t>i. Other Services</t>
  </si>
  <si>
    <t>Senior Citizen/PWD</t>
  </si>
  <si>
    <t>Improved services to senior citizens, PWDs</t>
  </si>
  <si>
    <t>100 senior citizens and 70 PWD's  recipients</t>
  </si>
  <si>
    <t>BCPC</t>
  </si>
  <si>
    <t>Financiual Charges</t>
  </si>
  <si>
    <t xml:space="preserve">Total for Basic Services &amp; Facilities Program </t>
  </si>
  <si>
    <t xml:space="preserve">TOTAL EXPENDITURE PROGRAM </t>
  </si>
  <si>
    <t xml:space="preserve">ENDING BALANCE </t>
  </si>
  <si>
    <t>.PART III.  GENERAL PROVISION</t>
  </si>
  <si>
    <t>1. All items of  appropriations in this Ordinance shall be used  only for the purposes for which they are appropriate.</t>
  </si>
  <si>
    <t>3.  The Quick Response Fund (QRF) appropriatedunder the Barangay Disaster Risk Reduction and Management Fund (BDRRMF) shall be use as standby fund for relief and recovery program.  The relase and use of QRF shall be supported by a esoluion of the Sangguniang Bayan declaring the baangay under as state of calamity or a Presidnetial declaration of a state of calamity.</t>
  </si>
  <si>
    <t>4.  The BDRMMF shall be used in accordance with R.A No. 10121</t>
  </si>
  <si>
    <t>5.  This Apropriation Ordinance will serve as a relases document and allitems of appropriation are comprehensively released, provided that if there is a shortfall in revenues, the Punong Barangay is authorized to issue a negative Allotment Release Order to reduce some of the amoutns in the Appropriation Ordinance  withour need of furher action from the Sangguniang Barangay.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</si>
</sst>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00_);_(* \(#,##0.00\);_(* &quot;-&quot;??_);_(@_)"/>
  </numFmts>
  <fonts count="30">
    <font>
      <sz val="11"/>
      <color theme="1"/>
      <name val="Calibri"/>
      <charset val="134"/>
      <scheme val="minor"/>
    </font>
    <font>
      <b/>
      <sz val="11"/>
      <color theme="1"/>
      <name val="Arial Narrow"/>
      <charset val="134"/>
    </font>
    <font>
      <sz val="11"/>
      <color theme="1"/>
      <name val="Arial Narrow"/>
      <charset val="134"/>
    </font>
    <font>
      <b/>
      <sz val="12"/>
      <color theme="1"/>
      <name val="Arial Narrow"/>
      <charset val="134"/>
    </font>
    <font>
      <sz val="12"/>
      <color theme="1"/>
      <name val="Arial Narrow"/>
      <charset val="134"/>
    </font>
    <font>
      <b/>
      <sz val="10"/>
      <color theme="1"/>
      <name val="Arial Narrow"/>
      <charset val="134"/>
    </font>
    <font>
      <sz val="10"/>
      <color theme="1"/>
      <name val="Arial Narrow"/>
      <charset val="134"/>
    </font>
    <font>
      <sz val="10"/>
      <color theme="1"/>
      <name val="Calibri"/>
      <charset val="134"/>
      <scheme val="minor"/>
    </font>
    <font>
      <i/>
      <sz val="10"/>
      <color theme="1"/>
      <name val="Arial Narrow"/>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theme="1"/>
      <name val="Arial Narrow"/>
      <charset val="134"/>
    </font>
  </fonts>
  <fills count="34">
    <fill>
      <patternFill patternType="none"/>
    </fill>
    <fill>
      <patternFill patternType="gray125"/>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medium">
        <color auto="1"/>
      </left>
      <right style="medium">
        <color auto="1"/>
      </right>
      <top/>
      <bottom/>
      <diagonal/>
    </border>
    <border>
      <left style="thin">
        <color auto="1"/>
      </left>
      <right style="thin">
        <color auto="1"/>
      </right>
      <top/>
      <bottom style="thin">
        <color auto="1"/>
      </bottom>
      <diagonal/>
    </border>
    <border>
      <left/>
      <right/>
      <top/>
      <bottom style="thin">
        <color auto="1"/>
      </bottom>
      <diagonal/>
    </border>
    <border>
      <left/>
      <right style="medium">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8"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9" applyNumberFormat="0" applyFill="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7" fillId="0" borderId="0" applyNumberFormat="0" applyFill="0" applyBorder="0" applyAlignment="0" applyProtection="0">
      <alignment vertical="center"/>
    </xf>
    <xf numFmtId="0" fontId="18" fillId="4" borderId="21" applyNumberFormat="0" applyAlignment="0" applyProtection="0">
      <alignment vertical="center"/>
    </xf>
    <xf numFmtId="0" fontId="19" fillId="5" borderId="22" applyNumberFormat="0" applyAlignment="0" applyProtection="0">
      <alignment vertical="center"/>
    </xf>
    <xf numFmtId="0" fontId="20" fillId="5" borderId="21" applyNumberFormat="0" applyAlignment="0" applyProtection="0">
      <alignment vertical="center"/>
    </xf>
    <xf numFmtId="0" fontId="21" fillId="6" borderId="23" applyNumberFormat="0" applyAlignment="0" applyProtection="0">
      <alignment vertical="center"/>
    </xf>
    <xf numFmtId="0" fontId="22" fillId="0" borderId="24" applyNumberFormat="0" applyFill="0" applyAlignment="0" applyProtection="0">
      <alignment vertical="center"/>
    </xf>
    <xf numFmtId="0" fontId="23" fillId="0" borderId="25"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32">
    <xf numFmtId="0" fontId="0" fillId="0" borderId="0" xfId="0"/>
    <xf numFmtId="0" fontId="1" fillId="0" borderId="0" xfId="0" applyFont="1" applyAlignment="1">
      <alignment horizontal="center" vertical="center"/>
    </xf>
    <xf numFmtId="0" fontId="1" fillId="0" borderId="0" xfId="0" applyFont="1"/>
    <xf numFmtId="0" fontId="2" fillId="0" borderId="0" xfId="0" applyFont="1"/>
    <xf numFmtId="0" fontId="2" fillId="0" borderId="0" xfId="0" applyFont="1" applyAlignment="1">
      <alignment horizontal="center" vertical="center"/>
    </xf>
    <xf numFmtId="0" fontId="2" fillId="0" borderId="0" xfId="0" applyFont="1" applyAlignment="1">
      <alignment horizontal="center"/>
    </xf>
    <xf numFmtId="0" fontId="1" fillId="0" borderId="0" xfId="0" applyFont="1" applyAlignment="1">
      <alignment horizontal="right"/>
    </xf>
    <xf numFmtId="0" fontId="3" fillId="0" borderId="0" xfId="0" applyFont="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1" fillId="0" borderId="0" xfId="0" applyFont="1" applyAlignment="1">
      <alignment horizontal="center" vertical="center" wrapText="1"/>
    </xf>
    <xf numFmtId="0" fontId="2" fillId="0" borderId="5" xfId="0" applyFont="1" applyBorder="1"/>
    <xf numFmtId="0" fontId="2" fillId="0" borderId="6" xfId="0" applyFont="1" applyBorder="1"/>
    <xf numFmtId="0" fontId="2" fillId="0" borderId="7" xfId="0" applyFont="1" applyBorder="1"/>
    <xf numFmtId="0" fontId="2" fillId="0" borderId="6" xfId="0" applyFont="1" applyBorder="1" applyAlignment="1">
      <alignment horizontal="center" vertical="center"/>
    </xf>
    <xf numFmtId="0" fontId="2" fillId="0" borderId="8" xfId="0" applyFont="1" applyBorder="1"/>
    <xf numFmtId="0" fontId="2" fillId="0" borderId="6" xfId="0" applyFont="1" applyBorder="1" applyAlignment="1">
      <alignment horizontal="center"/>
    </xf>
    <xf numFmtId="0" fontId="2" fillId="0" borderId="8" xfId="0" applyFont="1" applyBorder="1" applyAlignment="1">
      <alignment horizontal="center"/>
    </xf>
    <xf numFmtId="0" fontId="5" fillId="0" borderId="9" xfId="0" applyFont="1" applyBorder="1"/>
    <xf numFmtId="0" fontId="6" fillId="0" borderId="0" xfId="0" applyFont="1"/>
    <xf numFmtId="0" fontId="6" fillId="0" borderId="10" xfId="0" applyFont="1" applyBorder="1"/>
    <xf numFmtId="0" fontId="6" fillId="0" borderId="0" xfId="0" applyFont="1" applyAlignment="1">
      <alignment horizontal="center" vertical="center"/>
    </xf>
    <xf numFmtId="0" fontId="6" fillId="0" borderId="11" xfId="0" applyFont="1" applyBorder="1"/>
    <xf numFmtId="0" fontId="6" fillId="0" borderId="0" xfId="0" applyFont="1" applyAlignment="1">
      <alignment horizontal="center"/>
    </xf>
    <xf numFmtId="0" fontId="6" fillId="0" borderId="11" xfId="0" applyFont="1" applyBorder="1" applyAlignment="1">
      <alignment horizontal="center"/>
    </xf>
    <xf numFmtId="0" fontId="6" fillId="0" borderId="9" xfId="0" applyFont="1" applyBorder="1"/>
    <xf numFmtId="0" fontId="5" fillId="0" borderId="0" xfId="0" applyFont="1"/>
    <xf numFmtId="49" fontId="5" fillId="0" borderId="11" xfId="0" applyNumberFormat="1" applyFont="1" applyBorder="1" applyAlignment="1">
      <alignment horizontal="center"/>
    </xf>
    <xf numFmtId="9" fontId="6" fillId="0" borderId="11" xfId="0" applyNumberFormat="1" applyFont="1" applyBorder="1" applyAlignment="1">
      <alignment horizontal="center" vertical="center"/>
    </xf>
    <xf numFmtId="0" fontId="6" fillId="0" borderId="11" xfId="0" applyFont="1" applyBorder="1" applyAlignment="1">
      <alignment horizontal="center" vertical="center" wrapText="1"/>
    </xf>
    <xf numFmtId="4" fontId="7" fillId="0" borderId="12" xfId="0" applyNumberFormat="1" applyFont="1" applyBorder="1"/>
    <xf numFmtId="0" fontId="6" fillId="0" borderId="11" xfId="0" applyFont="1" applyBorder="1" applyAlignment="1">
      <alignment horizontal="center" vertical="center"/>
    </xf>
    <xf numFmtId="43" fontId="6" fillId="0" borderId="11" xfId="1" applyFont="1" applyBorder="1" applyAlignment="1">
      <alignment horizontal="center" vertical="center"/>
    </xf>
    <xf numFmtId="43" fontId="6" fillId="0" borderId="11" xfId="1" applyFont="1" applyBorder="1"/>
    <xf numFmtId="0" fontId="5" fillId="0" borderId="11" xfId="0" applyFont="1" applyBorder="1" applyAlignment="1">
      <alignment horizontal="center"/>
    </xf>
    <xf numFmtId="9" fontId="6" fillId="0" borderId="13" xfId="0" applyNumberFormat="1" applyFont="1" applyBorder="1" applyAlignment="1">
      <alignment horizontal="center" vertical="center"/>
    </xf>
    <xf numFmtId="0" fontId="6" fillId="0" borderId="13" xfId="0" applyFont="1" applyBorder="1" applyAlignment="1">
      <alignment horizontal="center" vertical="center" wrapText="1"/>
    </xf>
    <xf numFmtId="0" fontId="5" fillId="2" borderId="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3" xfId="0" applyFont="1" applyFill="1" applyBorder="1" applyAlignment="1">
      <alignment horizontal="left" vertical="center" wrapText="1"/>
    </xf>
    <xf numFmtId="0" fontId="5" fillId="2" borderId="2" xfId="0" applyFont="1" applyFill="1" applyBorder="1" applyAlignment="1">
      <alignment horizontal="center" vertical="center"/>
    </xf>
    <xf numFmtId="43" fontId="5" fillId="2" borderId="2" xfId="1" applyFont="1" applyFill="1" applyBorder="1"/>
    <xf numFmtId="0" fontId="5" fillId="2" borderId="3" xfId="0" applyFont="1" applyFill="1" applyBorder="1" applyAlignment="1">
      <alignment horizontal="center"/>
    </xf>
    <xf numFmtId="0" fontId="5" fillId="2" borderId="4" xfId="0" applyFont="1" applyFill="1" applyBorder="1" applyAlignment="1">
      <alignment horizontal="center"/>
    </xf>
    <xf numFmtId="0" fontId="6" fillId="0" borderId="8" xfId="0" applyFont="1" applyBorder="1"/>
    <xf numFmtId="43" fontId="6" fillId="0" borderId="0" xfId="0" applyNumberFormat="1" applyFont="1" applyAlignment="1">
      <alignment horizontal="center"/>
    </xf>
    <xf numFmtId="0" fontId="6" fillId="0" borderId="10" xfId="0" applyFont="1" applyBorder="1" applyAlignment="1">
      <alignment horizontal="center" vertical="center" wrapText="1"/>
    </xf>
    <xf numFmtId="0" fontId="5" fillId="0" borderId="0" xfId="0" applyFont="1" applyAlignment="1">
      <alignment horizontal="center" vertical="center"/>
    </xf>
    <xf numFmtId="4" fontId="6" fillId="0" borderId="11" xfId="0" applyNumberFormat="1" applyFont="1" applyBorder="1"/>
    <xf numFmtId="0" fontId="8" fillId="0" borderId="10" xfId="0" applyFont="1" applyBorder="1" applyAlignment="1">
      <alignment horizontal="left" indent="1"/>
    </xf>
    <xf numFmtId="43" fontId="6" fillId="0" borderId="11" xfId="1" applyFont="1" applyBorder="1" applyAlignment="1">
      <alignment vertical="center"/>
    </xf>
    <xf numFmtId="0" fontId="5" fillId="2" borderId="1" xfId="0" applyFont="1" applyFill="1" applyBorder="1" applyAlignment="1">
      <alignment horizontal="center" vertical="center"/>
    </xf>
    <xf numFmtId="0" fontId="5" fillId="2" borderId="3" xfId="0" applyFont="1" applyFill="1" applyBorder="1" applyAlignment="1">
      <alignment horizontal="center" vertical="center"/>
    </xf>
    <xf numFmtId="43" fontId="5" fillId="2" borderId="4" xfId="0" applyNumberFormat="1" applyFont="1" applyFill="1" applyBorder="1"/>
    <xf numFmtId="0" fontId="5" fillId="2" borderId="14" xfId="0" applyFont="1" applyFill="1" applyBorder="1" applyAlignment="1">
      <alignment horizontal="center"/>
    </xf>
    <xf numFmtId="0" fontId="5" fillId="2" borderId="13" xfId="0" applyFont="1" applyFill="1" applyBorder="1" applyAlignment="1">
      <alignment horizontal="center"/>
    </xf>
    <xf numFmtId="0" fontId="5" fillId="0" borderId="0" xfId="0" applyFont="1" applyAlignment="1">
      <alignment horizontal="left" vertical="center" wrapText="1"/>
    </xf>
    <xf numFmtId="0" fontId="5" fillId="0" borderId="10" xfId="0" applyFont="1" applyBorder="1" applyAlignment="1">
      <alignment horizontal="left" vertical="center" wrapText="1"/>
    </xf>
    <xf numFmtId="0" fontId="6" fillId="0" borderId="6" xfId="0" applyFont="1" applyBorder="1"/>
    <xf numFmtId="0" fontId="6" fillId="0" borderId="6" xfId="0" applyFont="1" applyBorder="1" applyAlignment="1">
      <alignment horizontal="center" vertical="center"/>
    </xf>
    <xf numFmtId="43" fontId="6" fillId="0" borderId="6" xfId="1" applyFont="1" applyBorder="1"/>
    <xf numFmtId="0" fontId="6" fillId="0" borderId="6" xfId="0" applyFont="1" applyBorder="1" applyAlignment="1">
      <alignment horizontal="center"/>
    </xf>
    <xf numFmtId="43" fontId="6" fillId="0" borderId="0" xfId="1" applyFont="1" applyBorder="1"/>
    <xf numFmtId="0" fontId="6" fillId="0" borderId="5" xfId="0" applyFont="1" applyBorder="1"/>
    <xf numFmtId="0" fontId="6" fillId="0" borderId="8" xfId="0" applyFont="1" applyBorder="1" applyAlignment="1">
      <alignment horizontal="center" vertical="center"/>
    </xf>
    <xf numFmtId="43" fontId="6" fillId="0" borderId="8" xfId="1" applyFont="1" applyBorder="1"/>
    <xf numFmtId="0" fontId="6" fillId="0" borderId="8" xfId="0" applyFont="1" applyBorder="1" applyAlignment="1">
      <alignment horizontal="center" vertical="center" wrapText="1"/>
    </xf>
    <xf numFmtId="0" fontId="6" fillId="0" borderId="0" xfId="0" applyFont="1" applyAlignment="1">
      <alignment wrapText="1"/>
    </xf>
    <xf numFmtId="0" fontId="5" fillId="2" borderId="1" xfId="0" applyFont="1" applyFill="1" applyBorder="1" applyAlignment="1">
      <alignment horizontal="center"/>
    </xf>
    <xf numFmtId="0" fontId="5" fillId="2" borderId="2" xfId="0" applyFont="1" applyFill="1" applyBorder="1" applyAlignment="1">
      <alignment horizontal="center"/>
    </xf>
    <xf numFmtId="0" fontId="5" fillId="2" borderId="4" xfId="0" applyFont="1" applyFill="1" applyBorder="1" applyAlignment="1">
      <alignment horizontal="center" vertical="center"/>
    </xf>
    <xf numFmtId="0" fontId="6" fillId="2" borderId="4" xfId="0" applyFont="1" applyFill="1" applyBorder="1" applyAlignment="1">
      <alignment vertical="center" wrapText="1"/>
    </xf>
    <xf numFmtId="0" fontId="6" fillId="0" borderId="11" xfId="0" applyFont="1" applyBorder="1" applyAlignment="1">
      <alignment vertical="center" wrapText="1"/>
    </xf>
    <xf numFmtId="43" fontId="5" fillId="2" borderId="1" xfId="1" applyFont="1" applyFill="1" applyBorder="1"/>
    <xf numFmtId="0" fontId="7" fillId="0" borderId="15" xfId="0" applyFont="1" applyBorder="1"/>
    <xf numFmtId="43" fontId="5" fillId="2" borderId="4" xfId="1" applyFont="1" applyFill="1" applyBorder="1"/>
    <xf numFmtId="0" fontId="5" fillId="2" borderId="1" xfId="0" applyFont="1" applyFill="1" applyBorder="1" applyAlignment="1">
      <alignment horizontal="left"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0" borderId="9" xfId="0" applyFont="1" applyBorder="1" applyAlignment="1">
      <alignment horizontal="left"/>
    </xf>
    <xf numFmtId="0" fontId="5" fillId="0" borderId="0" xfId="0" applyFont="1" applyAlignment="1">
      <alignment horizontal="left"/>
    </xf>
    <xf numFmtId="0" fontId="5" fillId="0" borderId="10" xfId="0" applyFont="1" applyBorder="1" applyAlignment="1">
      <alignment horizontal="left"/>
    </xf>
    <xf numFmtId="0" fontId="6" fillId="0" borderId="10" xfId="0" applyFont="1" applyBorder="1" applyAlignment="1">
      <alignment vertical="center"/>
    </xf>
    <xf numFmtId="0" fontId="5" fillId="0" borderId="10" xfId="0" applyFont="1" applyBorder="1"/>
    <xf numFmtId="43" fontId="5" fillId="0" borderId="11" xfId="1" applyFont="1" applyBorder="1"/>
    <xf numFmtId="0" fontId="6" fillId="0" borderId="11" xfId="0" applyFont="1" applyBorder="1" applyAlignment="1">
      <alignment horizontal="center" vertical="top" wrapText="1"/>
    </xf>
    <xf numFmtId="0" fontId="6" fillId="0" borderId="10" xfId="0" applyFont="1" applyBorder="1" applyAlignment="1">
      <alignment horizontal="left" vertical="center"/>
    </xf>
    <xf numFmtId="0" fontId="6" fillId="0" borderId="16" xfId="0" applyFont="1" applyBorder="1"/>
    <xf numFmtId="0" fontId="6" fillId="0" borderId="14" xfId="0" applyFont="1" applyBorder="1"/>
    <xf numFmtId="0" fontId="5" fillId="0" borderId="17" xfId="0" applyFont="1" applyBorder="1"/>
    <xf numFmtId="0" fontId="6" fillId="0" borderId="14" xfId="0" applyFont="1" applyBorder="1" applyAlignment="1">
      <alignment horizontal="center" vertical="center"/>
    </xf>
    <xf numFmtId="43" fontId="5" fillId="0" borderId="13" xfId="0" applyNumberFormat="1" applyFont="1" applyBorder="1"/>
    <xf numFmtId="0" fontId="6" fillId="0" borderId="13" xfId="0" applyFont="1" applyBorder="1" applyAlignment="1">
      <alignment vertical="center" wrapText="1"/>
    </xf>
    <xf numFmtId="43" fontId="6" fillId="0" borderId="0" xfId="0" applyNumberFormat="1" applyFont="1"/>
    <xf numFmtId="0" fontId="6" fillId="0" borderId="7" xfId="0" applyFont="1" applyBorder="1"/>
    <xf numFmtId="0" fontId="6" fillId="0" borderId="8" xfId="0" applyFont="1" applyBorder="1" applyAlignment="1">
      <alignment vertical="center" wrapText="1"/>
    </xf>
    <xf numFmtId="0" fontId="6" fillId="0" borderId="7" xfId="0" applyFont="1" applyBorder="1" applyAlignment="1">
      <alignment vertical="center" wrapText="1"/>
    </xf>
    <xf numFmtId="0" fontId="6" fillId="0" borderId="10" xfId="0" applyFont="1" applyBorder="1" applyAlignment="1">
      <alignment vertical="center" wrapText="1"/>
    </xf>
    <xf numFmtId="0" fontId="5" fillId="0" borderId="10" xfId="0" applyFont="1" applyBorder="1" applyAlignment="1">
      <alignment vertical="center"/>
    </xf>
    <xf numFmtId="43" fontId="5" fillId="0" borderId="11" xfId="1" applyFont="1" applyBorder="1" applyAlignment="1">
      <alignment vertical="center"/>
    </xf>
    <xf numFmtId="0" fontId="6" fillId="0" borderId="10" xfId="0" applyFont="1" applyBorder="1" applyAlignment="1">
      <alignment wrapText="1"/>
    </xf>
    <xf numFmtId="0" fontId="6" fillId="0" borderId="10" xfId="0" applyFont="1" applyBorder="1" applyAlignment="1">
      <alignment horizontal="center" vertical="top" wrapText="1"/>
    </xf>
    <xf numFmtId="43" fontId="6" fillId="0" borderId="11" xfId="0" applyNumberFormat="1" applyFont="1" applyBorder="1"/>
    <xf numFmtId="0" fontId="6" fillId="0" borderId="10" xfId="0" applyFont="1" applyBorder="1" applyAlignment="1">
      <alignment horizontal="center"/>
    </xf>
    <xf numFmtId="0" fontId="6" fillId="0" borderId="11" xfId="0" applyFont="1" applyBorder="1" applyAlignment="1">
      <alignment horizontal="center" wrapText="1"/>
    </xf>
    <xf numFmtId="0" fontId="6" fillId="0" borderId="10" xfId="0" applyFont="1" applyBorder="1" applyAlignment="1">
      <alignment horizontal="center" wrapText="1"/>
    </xf>
    <xf numFmtId="0" fontId="6" fillId="0" borderId="17" xfId="0" applyFont="1" applyBorder="1"/>
    <xf numFmtId="0" fontId="6" fillId="0" borderId="13" xfId="0" applyFont="1" applyBorder="1"/>
    <xf numFmtId="0" fontId="6" fillId="0" borderId="13" xfId="0" applyFont="1" applyBorder="1" applyAlignment="1">
      <alignment horizontal="center"/>
    </xf>
    <xf numFmtId="0" fontId="6" fillId="0" borderId="17" xfId="0" applyFont="1" applyBorder="1" applyAlignment="1">
      <alignment horizontal="center"/>
    </xf>
    <xf numFmtId="0" fontId="5" fillId="2" borderId="1" xfId="0" applyFont="1" applyFill="1" applyBorder="1"/>
    <xf numFmtId="0" fontId="6" fillId="2" borderId="2" xfId="0" applyFont="1" applyFill="1" applyBorder="1"/>
    <xf numFmtId="0" fontId="6" fillId="2" borderId="3" xfId="0" applyFont="1" applyFill="1" applyBorder="1"/>
    <xf numFmtId="0" fontId="6" fillId="2" borderId="2" xfId="0" applyFont="1" applyFill="1" applyBorder="1" applyAlignment="1">
      <alignment horizontal="center" vertical="center"/>
    </xf>
    <xf numFmtId="0" fontId="6" fillId="2" borderId="4" xfId="0" applyFont="1" applyFill="1" applyBorder="1" applyAlignment="1">
      <alignment horizontal="center"/>
    </xf>
    <xf numFmtId="0" fontId="6" fillId="2" borderId="3" xfId="0" applyFont="1" applyFill="1" applyBorder="1" applyAlignment="1">
      <alignment horizontal="center"/>
    </xf>
    <xf numFmtId="176" fontId="5" fillId="2" borderId="4" xfId="0" applyNumberFormat="1" applyFont="1" applyFill="1" applyBorder="1"/>
    <xf numFmtId="0" fontId="6" fillId="0" borderId="1" xfId="0" applyFont="1" applyBorder="1"/>
    <xf numFmtId="0" fontId="6" fillId="0" borderId="2" xfId="0" applyFont="1" applyBorder="1"/>
    <xf numFmtId="0" fontId="6" fillId="0" borderId="3" xfId="0" applyFont="1" applyBorder="1"/>
    <xf numFmtId="0" fontId="6" fillId="0" borderId="3" xfId="0" applyFont="1" applyBorder="1" applyAlignment="1">
      <alignment horizontal="center" vertical="center"/>
    </xf>
    <xf numFmtId="43" fontId="6" fillId="0" borderId="2" xfId="0" applyNumberFormat="1" applyFont="1" applyBorder="1"/>
    <xf numFmtId="0" fontId="6" fillId="0" borderId="4" xfId="0" applyFont="1" applyBorder="1" applyAlignment="1">
      <alignment horizontal="center"/>
    </xf>
    <xf numFmtId="0" fontId="6" fillId="0" borderId="3" xfId="0" applyFont="1" applyBorder="1" applyAlignment="1">
      <alignment horizontal="center"/>
    </xf>
    <xf numFmtId="0" fontId="6" fillId="0" borderId="0" xfId="0" applyFont="1" applyAlignment="1">
      <alignment horizontal="center" vertical="center" wrapText="1"/>
    </xf>
    <xf numFmtId="0" fontId="4" fillId="0" borderId="0" xfId="0" applyFont="1" applyAlignment="1">
      <alignment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4" fillId="0" borderId="0" xfId="0" applyFont="1" applyAlignme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YT\AppData\Local\Microsoft\Windows\INetCache\IE\KKOWMN4T\2025-BUDGET[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XPENDITURES"/>
      <sheetName val="20%"/>
      <sheetName val="PLANTILLA"/>
      <sheetName val="PS CAP"/>
      <sheetName val="INDEBTEDNESS"/>
      <sheetName val="Sample Annual Budget"/>
      <sheetName val="AIP"/>
      <sheetName val="Sheet2"/>
    </sheetNames>
    <sheetDataSet>
      <sheetData sheetId="0"/>
      <sheetData sheetId="1"/>
      <sheetData sheetId="2"/>
      <sheetData sheetId="3">
        <row r="22">
          <cell r="G22">
            <v>2628000</v>
          </cell>
        </row>
      </sheetData>
      <sheetData sheetId="4"/>
      <sheetData sheetId="5"/>
      <sheetData sheetId="6"/>
      <sheetData sheetId="7"/>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I134"/>
  <sheetViews>
    <sheetView tabSelected="1" view="pageBreakPreview" zoomScale="80" zoomScaleNormal="100" workbookViewId="0">
      <selection activeCell="D100" sqref="D100"/>
    </sheetView>
  </sheetViews>
  <sheetFormatPr defaultColWidth="9.11111111111111" defaultRowHeight="13.8"/>
  <cols>
    <col min="1" max="1" width="1.44444444444444" style="3" customWidth="1"/>
    <col min="2" max="2" width="1.66666666666667" style="3" customWidth="1"/>
    <col min="3" max="3" width="35.1111111111111" style="3" customWidth="1"/>
    <col min="4" max="4" width="11.6666666666667" style="4" customWidth="1"/>
    <col min="5" max="5" width="15.8888888888889" style="3" customWidth="1"/>
    <col min="6" max="6" width="14.6666666666667" style="5" customWidth="1"/>
    <col min="7" max="7" width="18.1111111111111" style="5" customWidth="1"/>
    <col min="8" max="16384" width="9.11111111111111" style="3"/>
  </cols>
  <sheetData>
    <row r="1" spans="1:7">
      <c r="A1" s="6" t="s">
        <v>0</v>
      </c>
      <c r="B1" s="6"/>
      <c r="C1" s="6"/>
      <c r="D1" s="6"/>
      <c r="E1" s="6"/>
      <c r="F1" s="6"/>
      <c r="G1" s="6"/>
    </row>
    <row r="2" ht="15.6" spans="1:7">
      <c r="A2" s="7" t="s">
        <v>1</v>
      </c>
      <c r="B2" s="7"/>
      <c r="C2" s="7"/>
      <c r="D2" s="7"/>
      <c r="E2" s="7"/>
      <c r="F2" s="7"/>
      <c r="G2" s="7"/>
    </row>
    <row r="3" ht="15.6" spans="1:7">
      <c r="A3" s="7"/>
      <c r="B3" s="7"/>
      <c r="C3" s="8" t="s">
        <v>2</v>
      </c>
      <c r="D3" s="8"/>
      <c r="E3" s="8"/>
      <c r="F3" s="8"/>
      <c r="G3" s="8"/>
    </row>
    <row r="4" ht="15.6" spans="1:7">
      <c r="A4" s="7"/>
      <c r="B4" s="7"/>
      <c r="C4" s="8" t="s">
        <v>3</v>
      </c>
      <c r="D4" s="8"/>
      <c r="E4" s="8"/>
      <c r="F4" s="8"/>
      <c r="G4" s="8"/>
    </row>
    <row r="5" ht="15.6" spans="1:7">
      <c r="A5" s="7"/>
      <c r="B5" s="7"/>
      <c r="C5" s="8" t="s">
        <v>4</v>
      </c>
      <c r="D5" s="8"/>
      <c r="E5" s="8"/>
      <c r="F5" s="8"/>
      <c r="G5" s="8"/>
    </row>
    <row r="7" spans="1:1">
      <c r="A7" s="3" t="s">
        <v>5</v>
      </c>
    </row>
    <row r="9" s="1" customFormat="1" ht="52.95" customHeight="1" spans="1:8">
      <c r="A9" s="9" t="s">
        <v>6</v>
      </c>
      <c r="B9" s="10"/>
      <c r="C9" s="11"/>
      <c r="D9" s="12" t="s">
        <v>7</v>
      </c>
      <c r="E9" s="12" t="s">
        <v>8</v>
      </c>
      <c r="F9" s="12" t="s">
        <v>9</v>
      </c>
      <c r="G9" s="12" t="s">
        <v>10</v>
      </c>
      <c r="H9" s="13"/>
    </row>
    <row r="10" spans="1:7">
      <c r="A10" s="14"/>
      <c r="B10" s="15"/>
      <c r="C10" s="16"/>
      <c r="D10" s="17"/>
      <c r="E10" s="18"/>
      <c r="F10" s="19"/>
      <c r="G10" s="20"/>
    </row>
    <row r="11" spans="1:7">
      <c r="A11" s="21" t="s">
        <v>11</v>
      </c>
      <c r="B11" s="22"/>
      <c r="C11" s="23"/>
      <c r="D11" s="24"/>
      <c r="E11" s="25"/>
      <c r="F11" s="26"/>
      <c r="G11" s="27"/>
    </row>
    <row r="12" ht="15.6" customHeight="1" spans="1:7">
      <c r="A12" s="28"/>
      <c r="B12" s="29" t="s">
        <v>12</v>
      </c>
      <c r="C12" s="23"/>
      <c r="D12" s="30" t="s">
        <v>13</v>
      </c>
      <c r="E12" s="25"/>
      <c r="F12" s="31" t="s">
        <v>14</v>
      </c>
      <c r="G12" s="32" t="s">
        <v>15</v>
      </c>
    </row>
    <row r="13" ht="15.6" customHeight="1" spans="1:7">
      <c r="A13" s="28"/>
      <c r="B13" s="22"/>
      <c r="C13" s="22" t="s">
        <v>16</v>
      </c>
      <c r="D13" s="27" t="s">
        <v>17</v>
      </c>
      <c r="E13" s="33">
        <v>300000</v>
      </c>
      <c r="F13" s="31"/>
      <c r="G13" s="32"/>
    </row>
    <row r="14" ht="15.6" customHeight="1" spans="1:7">
      <c r="A14" s="28"/>
      <c r="B14" s="22"/>
      <c r="C14" s="22" t="s">
        <v>18</v>
      </c>
      <c r="D14" s="34" t="s">
        <v>19</v>
      </c>
      <c r="E14" s="35">
        <v>200000</v>
      </c>
      <c r="F14" s="31"/>
      <c r="G14" s="32"/>
    </row>
    <row r="15" ht="15.6" customHeight="1" spans="1:7">
      <c r="A15" s="28"/>
      <c r="B15" s="22"/>
      <c r="C15" s="22" t="s">
        <v>20</v>
      </c>
      <c r="D15" s="34" t="s">
        <v>21</v>
      </c>
      <c r="E15" s="36">
        <v>11000</v>
      </c>
      <c r="F15" s="31"/>
      <c r="G15" s="32"/>
    </row>
    <row r="16" ht="15.6" customHeight="1" spans="1:7">
      <c r="A16" s="28"/>
      <c r="B16" s="29" t="s">
        <v>22</v>
      </c>
      <c r="C16" s="23"/>
      <c r="D16" s="37" t="s">
        <v>13</v>
      </c>
      <c r="E16" s="36"/>
      <c r="F16" s="31"/>
      <c r="G16" s="32"/>
    </row>
    <row r="17" ht="15.6" customHeight="1" spans="1:7">
      <c r="A17" s="28"/>
      <c r="B17" s="22"/>
      <c r="C17" s="22" t="s">
        <v>23</v>
      </c>
      <c r="D17" s="27" t="s">
        <v>24</v>
      </c>
      <c r="E17" s="36">
        <v>9113719</v>
      </c>
      <c r="F17" s="31"/>
      <c r="G17" s="32"/>
    </row>
    <row r="18" ht="15.6" customHeight="1" spans="1:7">
      <c r="A18" s="28"/>
      <c r="B18" s="29" t="s">
        <v>25</v>
      </c>
      <c r="C18" s="23"/>
      <c r="D18" s="37" t="s">
        <v>26</v>
      </c>
      <c r="E18" s="36"/>
      <c r="F18" s="31"/>
      <c r="G18" s="32"/>
    </row>
    <row r="19" ht="15.6" customHeight="1" spans="1:7">
      <c r="A19" s="28"/>
      <c r="B19" s="22"/>
      <c r="C19" s="22" t="s">
        <v>27</v>
      </c>
      <c r="D19" s="27" t="s">
        <v>17</v>
      </c>
      <c r="E19" s="36">
        <v>200000</v>
      </c>
      <c r="F19" s="31"/>
      <c r="G19" s="32"/>
    </row>
    <row r="20" ht="15.6" customHeight="1" spans="1:7">
      <c r="A20" s="28"/>
      <c r="B20" s="22"/>
      <c r="C20" s="22" t="s">
        <v>28</v>
      </c>
      <c r="D20" s="27" t="s">
        <v>29</v>
      </c>
      <c r="E20" s="36">
        <v>36000</v>
      </c>
      <c r="F20" s="31"/>
      <c r="G20" s="32"/>
    </row>
    <row r="21" ht="15.6" customHeight="1" spans="1:7">
      <c r="A21" s="28"/>
      <c r="B21" s="29" t="s">
        <v>30</v>
      </c>
      <c r="C21" s="23"/>
      <c r="D21" s="37" t="s">
        <v>31</v>
      </c>
      <c r="E21" s="36"/>
      <c r="F21" s="31"/>
      <c r="G21" s="32"/>
    </row>
    <row r="22" ht="15.6" customHeight="1" spans="1:7">
      <c r="A22" s="28"/>
      <c r="B22" s="22"/>
      <c r="C22" s="22" t="s">
        <v>32</v>
      </c>
      <c r="D22" s="27" t="s">
        <v>33</v>
      </c>
      <c r="E22" s="36">
        <v>4000</v>
      </c>
      <c r="F22" s="38"/>
      <c r="G22" s="39"/>
    </row>
    <row r="23" s="2" customFormat="1" ht="14.4" customHeight="1" spans="1:7">
      <c r="A23" s="40" t="s">
        <v>34</v>
      </c>
      <c r="B23" s="41"/>
      <c r="C23" s="42"/>
      <c r="D23" s="43"/>
      <c r="E23" s="44">
        <f>SUM(E12:E22)</f>
        <v>9864719</v>
      </c>
      <c r="F23" s="45"/>
      <c r="G23" s="46"/>
    </row>
    <row r="24" ht="8.4" customHeight="1" spans="1:7">
      <c r="A24" s="28"/>
      <c r="B24" s="22"/>
      <c r="C24" s="23"/>
      <c r="D24" s="24"/>
      <c r="E24" s="47"/>
      <c r="F24" s="26"/>
      <c r="G24" s="27"/>
    </row>
    <row r="25" spans="1:7">
      <c r="A25" s="21" t="s">
        <v>35</v>
      </c>
      <c r="B25" s="22"/>
      <c r="C25" s="23"/>
      <c r="D25" s="24"/>
      <c r="E25" s="25"/>
      <c r="F25" s="26"/>
      <c r="G25" s="27"/>
    </row>
    <row r="26" ht="6" customHeight="1" spans="1:7">
      <c r="A26" s="28"/>
      <c r="B26" s="22"/>
      <c r="C26" s="23"/>
      <c r="D26" s="24"/>
      <c r="E26" s="25"/>
      <c r="F26" s="26"/>
      <c r="G26" s="27"/>
    </row>
    <row r="27" spans="1:7">
      <c r="A27" s="28" t="s">
        <v>36</v>
      </c>
      <c r="B27" s="22"/>
      <c r="C27" s="23"/>
      <c r="D27" s="24"/>
      <c r="E27" s="25"/>
      <c r="F27" s="48"/>
      <c r="G27" s="27"/>
    </row>
    <row r="28" ht="6" customHeight="1" spans="1:7">
      <c r="A28" s="28"/>
      <c r="B28" s="22"/>
      <c r="C28" s="23"/>
      <c r="D28" s="24"/>
      <c r="E28" s="25"/>
      <c r="F28" s="26"/>
      <c r="G28" s="27"/>
    </row>
    <row r="29" spans="1:7">
      <c r="A29" s="21" t="s">
        <v>37</v>
      </c>
      <c r="B29" s="22"/>
      <c r="C29" s="23"/>
      <c r="D29" s="24"/>
      <c r="E29" s="25"/>
      <c r="F29" s="49"/>
      <c r="G29" s="32" t="s">
        <v>38</v>
      </c>
    </row>
    <row r="30" spans="1:7">
      <c r="A30" s="28"/>
      <c r="B30" s="29" t="s">
        <v>39</v>
      </c>
      <c r="C30" s="23"/>
      <c r="D30" s="50" t="s">
        <v>40</v>
      </c>
      <c r="E30" s="25"/>
      <c r="F30" s="49"/>
      <c r="G30" s="32"/>
    </row>
    <row r="31" ht="15.6" customHeight="1" spans="1:7">
      <c r="A31" s="28"/>
      <c r="B31" s="22"/>
      <c r="C31" s="23" t="s">
        <v>41</v>
      </c>
      <c r="D31" s="24" t="s">
        <v>42</v>
      </c>
      <c r="E31" s="36">
        <f>'[1]PS CAP'!G22</f>
        <v>2628000</v>
      </c>
      <c r="F31" s="49"/>
      <c r="G31" s="32"/>
    </row>
    <row r="32" ht="15.6" customHeight="1" spans="1:7">
      <c r="A32" s="28"/>
      <c r="B32" s="22"/>
      <c r="C32" s="23" t="s">
        <v>43</v>
      </c>
      <c r="D32" s="24" t="s">
        <v>44</v>
      </c>
      <c r="E32" s="36">
        <v>60000</v>
      </c>
      <c r="F32" s="49"/>
      <c r="G32" s="32"/>
    </row>
    <row r="33" ht="15.6" customHeight="1" spans="1:7">
      <c r="A33" s="28"/>
      <c r="B33" s="22"/>
      <c r="C33" s="23" t="s">
        <v>45</v>
      </c>
      <c r="D33" s="24" t="s">
        <v>46</v>
      </c>
      <c r="E33" s="51">
        <v>219000</v>
      </c>
      <c r="F33" s="49"/>
      <c r="G33" s="32"/>
    </row>
    <row r="34" ht="15.6" customHeight="1" spans="1:7">
      <c r="A34" s="28"/>
      <c r="B34" s="22"/>
      <c r="C34" s="23" t="s">
        <v>47</v>
      </c>
      <c r="D34" s="24" t="s">
        <v>48</v>
      </c>
      <c r="E34" s="36">
        <v>219000</v>
      </c>
      <c r="F34" s="49"/>
      <c r="G34" s="32"/>
    </row>
    <row r="35" ht="15.6" customHeight="1" spans="1:7">
      <c r="A35" s="28"/>
      <c r="B35" s="22"/>
      <c r="C35" s="23" t="s">
        <v>49</v>
      </c>
      <c r="D35" s="50" t="s">
        <v>50</v>
      </c>
      <c r="E35" s="36"/>
      <c r="F35" s="49"/>
      <c r="G35" s="32"/>
    </row>
    <row r="36" ht="15.6" customHeight="1" spans="1:7">
      <c r="A36" s="28"/>
      <c r="B36" s="22"/>
      <c r="C36" s="52" t="s">
        <v>51</v>
      </c>
      <c r="D36" s="24" t="s">
        <v>52</v>
      </c>
      <c r="E36" s="36">
        <v>306503</v>
      </c>
      <c r="F36" s="49"/>
      <c r="G36" s="32"/>
    </row>
    <row r="37" ht="15.6" customHeight="1" spans="1:7">
      <c r="A37" s="28"/>
      <c r="B37" s="22"/>
      <c r="C37" s="52" t="s">
        <v>53</v>
      </c>
      <c r="D37" s="24" t="s">
        <v>21</v>
      </c>
      <c r="E37" s="53">
        <v>60000</v>
      </c>
      <c r="F37" s="49"/>
      <c r="G37" s="32"/>
    </row>
    <row r="38" s="2" customFormat="1" spans="1:7">
      <c r="A38" s="54" t="s">
        <v>54</v>
      </c>
      <c r="B38" s="43"/>
      <c r="C38" s="55"/>
      <c r="D38" s="43"/>
      <c r="E38" s="56">
        <f>SUM(E31:E37)</f>
        <v>3492503</v>
      </c>
      <c r="F38" s="57"/>
      <c r="G38" s="58"/>
    </row>
    <row r="39" spans="1:7">
      <c r="A39" s="28"/>
      <c r="B39" s="59" t="s">
        <v>55</v>
      </c>
      <c r="C39" s="60"/>
      <c r="D39" s="24"/>
      <c r="E39" s="36"/>
      <c r="F39" s="26"/>
      <c r="G39" s="27"/>
    </row>
    <row r="40" ht="16.5" customHeight="1" spans="1:7">
      <c r="A40" s="28"/>
      <c r="B40" s="22"/>
      <c r="C40" s="23" t="s">
        <v>56</v>
      </c>
      <c r="D40" s="24" t="s">
        <v>57</v>
      </c>
      <c r="E40" s="36">
        <v>100000</v>
      </c>
      <c r="F40" s="32" t="s">
        <v>58</v>
      </c>
      <c r="G40" s="32" t="s">
        <v>38</v>
      </c>
    </row>
    <row r="41" spans="1:7">
      <c r="A41" s="28"/>
      <c r="B41" s="22"/>
      <c r="C41" s="23" t="s">
        <v>59</v>
      </c>
      <c r="D41" s="24" t="s">
        <v>60</v>
      </c>
      <c r="E41" s="36">
        <v>100000</v>
      </c>
      <c r="F41" s="32"/>
      <c r="G41" s="32"/>
    </row>
    <row r="42" spans="1:7">
      <c r="A42" s="28"/>
      <c r="B42" s="22"/>
      <c r="C42" s="23" t="s">
        <v>61</v>
      </c>
      <c r="D42" s="24" t="s">
        <v>62</v>
      </c>
      <c r="E42" s="36">
        <v>80000</v>
      </c>
      <c r="F42" s="32"/>
      <c r="G42" s="32"/>
    </row>
    <row r="43" spans="1:7">
      <c r="A43" s="28"/>
      <c r="B43" s="22"/>
      <c r="C43" s="23" t="s">
        <v>63</v>
      </c>
      <c r="D43" s="24" t="s">
        <v>64</v>
      </c>
      <c r="E43" s="51">
        <v>5000</v>
      </c>
      <c r="F43" s="32"/>
      <c r="G43" s="32"/>
    </row>
    <row r="44" spans="1:7">
      <c r="A44" s="28"/>
      <c r="B44" s="22"/>
      <c r="C44" s="23" t="s">
        <v>65</v>
      </c>
      <c r="D44" s="24" t="s">
        <v>66</v>
      </c>
      <c r="E44" s="36">
        <f>750000-110000+40000+20000</f>
        <v>700000</v>
      </c>
      <c r="F44" s="32"/>
      <c r="G44" s="32"/>
    </row>
    <row r="45" spans="1:7">
      <c r="A45" s="28"/>
      <c r="B45" s="22"/>
      <c r="C45" s="23" t="s">
        <v>67</v>
      </c>
      <c r="D45" s="24" t="s">
        <v>68</v>
      </c>
      <c r="E45" s="36">
        <v>5000</v>
      </c>
      <c r="F45" s="32"/>
      <c r="G45" s="32"/>
    </row>
    <row r="46" spans="1:7">
      <c r="A46" s="28"/>
      <c r="B46" s="22"/>
      <c r="C46" s="23" t="s">
        <v>69</v>
      </c>
      <c r="D46" s="24" t="s">
        <v>70</v>
      </c>
      <c r="E46" s="36">
        <v>273600</v>
      </c>
      <c r="F46" s="32"/>
      <c r="G46" s="32"/>
    </row>
    <row r="47" spans="1:7">
      <c r="A47" s="28"/>
      <c r="B47" s="22"/>
      <c r="C47" s="23" t="s">
        <v>71</v>
      </c>
      <c r="D47" s="24" t="s">
        <v>72</v>
      </c>
      <c r="E47" s="36">
        <v>32400</v>
      </c>
      <c r="F47" s="32"/>
      <c r="G47" s="32"/>
    </row>
    <row r="48" spans="1:7">
      <c r="A48" s="28"/>
      <c r="B48" s="22"/>
      <c r="C48" s="23" t="s">
        <v>73</v>
      </c>
      <c r="D48" s="24" t="s">
        <v>74</v>
      </c>
      <c r="E48" s="36">
        <v>40000</v>
      </c>
      <c r="F48" s="32"/>
      <c r="G48" s="32"/>
    </row>
    <row r="49" spans="1:7">
      <c r="A49" s="28"/>
      <c r="B49" s="22"/>
      <c r="C49" s="23" t="s">
        <v>75</v>
      </c>
      <c r="D49" s="24" t="s">
        <v>76</v>
      </c>
      <c r="E49" s="36">
        <v>12000</v>
      </c>
      <c r="F49" s="32"/>
      <c r="G49" s="32"/>
    </row>
    <row r="50" spans="1:7">
      <c r="A50" s="28"/>
      <c r="B50" s="22"/>
      <c r="C50" s="23" t="s">
        <v>77</v>
      </c>
      <c r="D50" s="24"/>
      <c r="E50" s="36"/>
      <c r="F50" s="32"/>
      <c r="G50" s="32"/>
    </row>
    <row r="51" spans="1:7">
      <c r="A51" s="28"/>
      <c r="B51" s="22"/>
      <c r="C51" s="22" t="s">
        <v>78</v>
      </c>
      <c r="D51" s="34" t="s">
        <v>79</v>
      </c>
      <c r="E51" s="36">
        <v>50000</v>
      </c>
      <c r="F51" s="32"/>
      <c r="G51" s="32"/>
    </row>
    <row r="52" spans="1:7">
      <c r="A52" s="28"/>
      <c r="B52" s="22"/>
      <c r="C52" s="22" t="s">
        <v>80</v>
      </c>
      <c r="D52" s="34"/>
      <c r="E52" s="36">
        <v>38400</v>
      </c>
      <c r="F52" s="32"/>
      <c r="G52" s="32"/>
    </row>
    <row r="53" spans="1:7">
      <c r="A53" s="28"/>
      <c r="B53" s="22"/>
      <c r="C53" s="22" t="s">
        <v>81</v>
      </c>
      <c r="D53" s="34"/>
      <c r="E53" s="36">
        <v>86400</v>
      </c>
      <c r="F53" s="32"/>
      <c r="G53" s="32"/>
    </row>
    <row r="54" spans="1:7">
      <c r="A54" s="28"/>
      <c r="B54" s="22"/>
      <c r="C54" s="22" t="s">
        <v>82</v>
      </c>
      <c r="D54" s="34" t="s">
        <v>83</v>
      </c>
      <c r="E54" s="36"/>
      <c r="F54" s="32"/>
      <c r="G54" s="32"/>
    </row>
    <row r="55" spans="1:7">
      <c r="A55" s="28"/>
      <c r="B55" s="22"/>
      <c r="C55" s="22" t="s">
        <v>84</v>
      </c>
      <c r="D55" s="34" t="s">
        <v>85</v>
      </c>
      <c r="E55" s="51">
        <v>30000</v>
      </c>
      <c r="F55" s="32"/>
      <c r="G55" s="32"/>
    </row>
    <row r="56" spans="1:7">
      <c r="A56" s="61"/>
      <c r="B56" s="61"/>
      <c r="C56" s="61"/>
      <c r="D56" s="62"/>
      <c r="E56" s="63"/>
      <c r="F56" s="64"/>
      <c r="G56" s="64"/>
    </row>
    <row r="57" spans="1:7">
      <c r="A57" s="22"/>
      <c r="B57" s="22"/>
      <c r="C57" s="22"/>
      <c r="D57" s="24"/>
      <c r="E57" s="65"/>
      <c r="F57" s="26"/>
      <c r="G57" s="26"/>
    </row>
    <row r="58" spans="1:7">
      <c r="A58" s="22"/>
      <c r="B58" s="22"/>
      <c r="C58" s="22"/>
      <c r="D58" s="24"/>
      <c r="E58" s="65"/>
      <c r="F58" s="26"/>
      <c r="G58" s="26"/>
    </row>
    <row r="59" spans="1:7">
      <c r="A59" s="22"/>
      <c r="B59" s="22"/>
      <c r="C59" s="22"/>
      <c r="D59" s="24"/>
      <c r="E59" s="65"/>
      <c r="F59" s="26"/>
      <c r="G59" s="26"/>
    </row>
    <row r="60" spans="1:7">
      <c r="A60" s="22"/>
      <c r="B60" s="22"/>
      <c r="C60" s="22"/>
      <c r="D60" s="24"/>
      <c r="E60" s="65"/>
      <c r="F60" s="26"/>
      <c r="G60" s="26"/>
    </row>
    <row r="61" ht="16.5" customHeight="1" spans="1:7">
      <c r="A61" s="66"/>
      <c r="B61" s="61"/>
      <c r="C61" s="61" t="s">
        <v>86</v>
      </c>
      <c r="D61" s="67" t="s">
        <v>87</v>
      </c>
      <c r="E61" s="68">
        <v>32406.13</v>
      </c>
      <c r="F61" s="69" t="s">
        <v>58</v>
      </c>
      <c r="G61" s="69" t="s">
        <v>38</v>
      </c>
    </row>
    <row r="62" ht="16.5" customHeight="1" spans="1:7">
      <c r="A62" s="28"/>
      <c r="B62" s="22"/>
      <c r="C62" s="22" t="s">
        <v>88</v>
      </c>
      <c r="D62" s="34" t="s">
        <v>89</v>
      </c>
      <c r="E62" s="36">
        <v>20000</v>
      </c>
      <c r="F62" s="32"/>
      <c r="G62" s="32"/>
    </row>
    <row r="63" ht="16.5" customHeight="1" spans="1:7">
      <c r="A63" s="28"/>
      <c r="B63" s="22"/>
      <c r="C63" s="22" t="s">
        <v>90</v>
      </c>
      <c r="D63" s="35"/>
      <c r="E63" s="36">
        <f>288691.67*2%</f>
        <v>5773.8334</v>
      </c>
      <c r="F63" s="32"/>
      <c r="G63" s="32"/>
    </row>
    <row r="64" ht="32.25" customHeight="1" spans="1:7">
      <c r="A64" s="28"/>
      <c r="B64" s="22"/>
      <c r="C64" s="70" t="s">
        <v>91</v>
      </c>
      <c r="D64" s="34" t="s">
        <v>92</v>
      </c>
      <c r="E64" s="53">
        <v>5000</v>
      </c>
      <c r="F64" s="32"/>
      <c r="G64" s="32"/>
    </row>
    <row r="65" spans="1:7">
      <c r="A65" s="28"/>
      <c r="B65" s="22"/>
      <c r="C65" s="22" t="s">
        <v>93</v>
      </c>
      <c r="D65" s="34" t="s">
        <v>94</v>
      </c>
      <c r="E65" s="36">
        <v>30000</v>
      </c>
      <c r="F65" s="32"/>
      <c r="G65" s="32"/>
    </row>
    <row r="66" s="2" customFormat="1" spans="1:7">
      <c r="A66" s="71" t="s">
        <v>95</v>
      </c>
      <c r="B66" s="72"/>
      <c r="C66" s="72"/>
      <c r="D66" s="73"/>
      <c r="E66" s="56">
        <f>SUM(E40:E65)</f>
        <v>1645979.9634</v>
      </c>
      <c r="F66" s="74"/>
      <c r="G66" s="74"/>
    </row>
    <row r="67" spans="1:7">
      <c r="A67" s="28"/>
      <c r="B67" s="22"/>
      <c r="C67" s="23"/>
      <c r="D67" s="24"/>
      <c r="E67" s="25"/>
      <c r="F67" s="75"/>
      <c r="G67" s="75"/>
    </row>
    <row r="68" spans="1:7">
      <c r="A68" s="28"/>
      <c r="B68" s="29" t="s">
        <v>96</v>
      </c>
      <c r="C68" s="23"/>
      <c r="D68" s="24"/>
      <c r="E68" s="25"/>
      <c r="F68" s="75"/>
      <c r="G68" s="75"/>
    </row>
    <row r="69" spans="1:7">
      <c r="A69" s="28"/>
      <c r="B69" s="22"/>
      <c r="C69" s="23" t="s">
        <v>97</v>
      </c>
      <c r="D69" s="24"/>
      <c r="E69" s="25"/>
      <c r="F69" s="75"/>
      <c r="G69" s="75"/>
    </row>
    <row r="70" spans="1:7">
      <c r="A70" s="28"/>
      <c r="B70" s="22"/>
      <c r="C70" s="23" t="s">
        <v>98</v>
      </c>
      <c r="D70" s="24"/>
      <c r="E70" s="36"/>
      <c r="F70" s="75"/>
      <c r="G70" s="75"/>
    </row>
    <row r="71" spans="1:7">
      <c r="A71" s="28"/>
      <c r="B71" s="22"/>
      <c r="C71" s="23" t="s">
        <v>99</v>
      </c>
      <c r="D71" s="24"/>
      <c r="E71" s="36"/>
      <c r="F71" s="75"/>
      <c r="G71" s="75"/>
    </row>
    <row r="72" s="2" customFormat="1" spans="1:7">
      <c r="A72" s="71" t="s">
        <v>100</v>
      </c>
      <c r="B72" s="72"/>
      <c r="C72" s="45"/>
      <c r="D72" s="43"/>
      <c r="E72" s="76">
        <f>SUM(E69:E71)</f>
        <v>0</v>
      </c>
      <c r="F72" s="72"/>
      <c r="G72" s="45"/>
    </row>
    <row r="73" spans="1:7">
      <c r="A73" s="28"/>
      <c r="B73" s="22"/>
      <c r="C73" s="23"/>
      <c r="D73" s="24"/>
      <c r="E73" s="25"/>
      <c r="F73" s="26"/>
      <c r="G73" s="27"/>
    </row>
    <row r="74" spans="1:7">
      <c r="A74" s="21" t="s">
        <v>101</v>
      </c>
      <c r="B74" s="22"/>
      <c r="C74" s="23"/>
      <c r="D74" s="24"/>
      <c r="E74" s="25"/>
      <c r="F74" s="26"/>
      <c r="G74" s="27"/>
    </row>
    <row r="75" spans="1:7">
      <c r="A75" s="28"/>
      <c r="B75" s="22" t="s">
        <v>102</v>
      </c>
      <c r="C75" s="23"/>
      <c r="D75" s="24"/>
      <c r="E75" s="25"/>
      <c r="F75" s="26"/>
      <c r="G75" s="27"/>
    </row>
    <row r="76" spans="1:7">
      <c r="A76" s="28"/>
      <c r="B76" s="22" t="s">
        <v>103</v>
      </c>
      <c r="C76" s="23"/>
      <c r="D76" s="24"/>
      <c r="E76" s="36">
        <v>986471.9</v>
      </c>
      <c r="F76" s="26"/>
      <c r="G76" s="27"/>
    </row>
    <row r="77" spans="1:7">
      <c r="A77" s="28"/>
      <c r="B77" s="77" t="s">
        <v>104</v>
      </c>
      <c r="C77" s="23"/>
      <c r="D77" s="24"/>
      <c r="E77" s="36">
        <v>120000</v>
      </c>
      <c r="F77" s="26"/>
      <c r="G77" s="27"/>
    </row>
    <row r="78" s="2" customFormat="1" spans="1:7">
      <c r="A78" s="71" t="s">
        <v>105</v>
      </c>
      <c r="B78" s="72"/>
      <c r="C78" s="45"/>
      <c r="D78" s="43"/>
      <c r="E78" s="78">
        <f>SUM(E76:E77)</f>
        <v>1106471.9</v>
      </c>
      <c r="F78" s="72"/>
      <c r="G78" s="46"/>
    </row>
    <row r="79" spans="1:7">
      <c r="A79" s="28"/>
      <c r="B79" s="22"/>
      <c r="C79" s="23"/>
      <c r="D79" s="24"/>
      <c r="E79" s="25"/>
      <c r="F79" s="26"/>
      <c r="G79" s="27"/>
    </row>
    <row r="80" s="2" customFormat="1" ht="19.2" customHeight="1" spans="1:7">
      <c r="A80" s="79" t="s">
        <v>106</v>
      </c>
      <c r="B80" s="80"/>
      <c r="C80" s="81"/>
      <c r="D80" s="43"/>
      <c r="E80" s="56">
        <f>E78+E72+E66+E38</f>
        <v>6244954.8634</v>
      </c>
      <c r="F80" s="72"/>
      <c r="G80" s="46"/>
    </row>
    <row r="81" spans="1:7">
      <c r="A81" s="28"/>
      <c r="B81" s="22"/>
      <c r="C81" s="23"/>
      <c r="D81" s="24"/>
      <c r="E81" s="25"/>
      <c r="F81" s="26"/>
      <c r="G81" s="27"/>
    </row>
    <row r="82" spans="1:7">
      <c r="A82" s="82" t="s">
        <v>107</v>
      </c>
      <c r="B82" s="83"/>
      <c r="C82" s="84"/>
      <c r="D82" s="24"/>
      <c r="E82" s="25"/>
      <c r="F82" s="26"/>
      <c r="G82" s="27"/>
    </row>
    <row r="83" ht="14.4" customHeight="1" spans="1:7">
      <c r="A83" s="28"/>
      <c r="B83" s="22" t="s">
        <v>108</v>
      </c>
      <c r="C83" s="23"/>
      <c r="D83" s="24"/>
      <c r="E83" s="25"/>
      <c r="F83" s="75"/>
      <c r="G83" s="75"/>
    </row>
    <row r="84" spans="1:7">
      <c r="A84" s="28"/>
      <c r="B84" s="22"/>
      <c r="C84" s="23" t="s">
        <v>109</v>
      </c>
      <c r="D84" s="24"/>
      <c r="E84" s="36"/>
      <c r="F84" s="75"/>
      <c r="G84" s="75"/>
    </row>
    <row r="85" ht="72" customHeight="1" spans="1:7">
      <c r="A85" s="28"/>
      <c r="B85" s="22"/>
      <c r="C85" s="85" t="s">
        <v>110</v>
      </c>
      <c r="D85" s="24"/>
      <c r="E85" s="53">
        <v>60000</v>
      </c>
      <c r="F85" s="32" t="s">
        <v>111</v>
      </c>
      <c r="G85" s="32" t="s">
        <v>112</v>
      </c>
    </row>
    <row r="86" spans="1:7">
      <c r="A86" s="28"/>
      <c r="B86" s="22"/>
      <c r="C86" s="86" t="s">
        <v>113</v>
      </c>
      <c r="D86" s="24"/>
      <c r="E86" s="87">
        <f>E85+E84</f>
        <v>60000</v>
      </c>
      <c r="F86" s="75"/>
      <c r="G86" s="75"/>
    </row>
    <row r="87" ht="12.75" customHeight="1" spans="1:7">
      <c r="A87" s="28"/>
      <c r="B87" s="22"/>
      <c r="C87" s="23"/>
      <c r="D87" s="24"/>
      <c r="E87" s="25"/>
      <c r="F87" s="26"/>
      <c r="G87" s="27"/>
    </row>
    <row r="88" ht="16.5" customHeight="1" spans="1:7">
      <c r="A88" s="28"/>
      <c r="B88" s="22" t="s">
        <v>114</v>
      </c>
      <c r="C88" s="23"/>
      <c r="D88" s="24"/>
      <c r="E88" s="25"/>
      <c r="F88" s="32"/>
      <c r="G88" s="32"/>
    </row>
    <row r="89" ht="16.5" customHeight="1" spans="1:7">
      <c r="A89" s="28"/>
      <c r="B89" s="22"/>
      <c r="C89" s="23" t="s">
        <v>109</v>
      </c>
      <c r="D89" s="24"/>
      <c r="E89" s="36"/>
      <c r="F89" s="32"/>
      <c r="G89" s="32"/>
    </row>
    <row r="90" ht="84" customHeight="1" spans="1:7">
      <c r="A90" s="28"/>
      <c r="B90" s="22"/>
      <c r="C90" s="85" t="s">
        <v>115</v>
      </c>
      <c r="D90" s="24"/>
      <c r="E90" s="53">
        <v>438000</v>
      </c>
      <c r="F90" s="32" t="s">
        <v>116</v>
      </c>
      <c r="G90" s="32" t="s">
        <v>117</v>
      </c>
    </row>
    <row r="91" spans="1:7">
      <c r="A91" s="28"/>
      <c r="B91" s="22"/>
      <c r="C91" s="86" t="s">
        <v>113</v>
      </c>
      <c r="D91" s="24"/>
      <c r="E91" s="87">
        <f>SUM(E89:E90)</f>
        <v>438000</v>
      </c>
      <c r="F91" s="32"/>
      <c r="G91" s="88"/>
    </row>
    <row r="92" ht="12.75" customHeight="1" spans="1:7">
      <c r="A92" s="28"/>
      <c r="B92" s="22"/>
      <c r="C92" s="23"/>
      <c r="D92" s="24"/>
      <c r="E92" s="25"/>
      <c r="F92" s="26"/>
      <c r="G92" s="27"/>
    </row>
    <row r="93" ht="16.5" customHeight="1" spans="1:7">
      <c r="A93" s="28"/>
      <c r="B93" s="22" t="s">
        <v>118</v>
      </c>
      <c r="C93" s="23"/>
      <c r="D93" s="24"/>
      <c r="E93" s="25"/>
      <c r="F93" s="75"/>
      <c r="G93" s="75"/>
    </row>
    <row r="94" spans="1:7">
      <c r="A94" s="28"/>
      <c r="B94" s="22"/>
      <c r="C94" s="23" t="s">
        <v>109</v>
      </c>
      <c r="D94" s="24"/>
      <c r="E94" s="36"/>
      <c r="F94" s="75"/>
      <c r="G94" s="75"/>
    </row>
    <row r="95" ht="33" customHeight="1" spans="1:7">
      <c r="A95" s="28"/>
      <c r="B95" s="22"/>
      <c r="C95" s="89" t="s">
        <v>119</v>
      </c>
      <c r="D95" s="24"/>
      <c r="E95" s="53">
        <v>604800</v>
      </c>
      <c r="F95" s="32" t="s">
        <v>120</v>
      </c>
      <c r="G95" s="32" t="s">
        <v>121</v>
      </c>
    </row>
    <row r="96" spans="1:7">
      <c r="A96" s="28"/>
      <c r="B96" s="22"/>
      <c r="C96" s="86" t="s">
        <v>113</v>
      </c>
      <c r="D96" s="24"/>
      <c r="E96" s="87">
        <f>SUM(E94:E95)</f>
        <v>604800</v>
      </c>
      <c r="F96" s="75"/>
      <c r="G96" s="75"/>
    </row>
    <row r="97" spans="1:7">
      <c r="A97" s="28"/>
      <c r="B97" s="22"/>
      <c r="C97" s="23"/>
      <c r="D97" s="24"/>
      <c r="E97" s="25"/>
      <c r="F97" s="26"/>
      <c r="G97" s="27"/>
    </row>
    <row r="98" ht="16.5" customHeight="1" spans="1:7">
      <c r="A98" s="28"/>
      <c r="B98" s="22" t="s">
        <v>122</v>
      </c>
      <c r="C98" s="23"/>
      <c r="D98" s="24"/>
      <c r="E98" s="25"/>
      <c r="F98" s="75"/>
      <c r="G98" s="75"/>
    </row>
    <row r="99" spans="1:7">
      <c r="A99" s="28"/>
      <c r="B99" s="22"/>
      <c r="C99" s="23" t="s">
        <v>109</v>
      </c>
      <c r="D99" s="24"/>
      <c r="E99" s="36"/>
      <c r="F99" s="75"/>
      <c r="G99" s="75"/>
    </row>
    <row r="100" ht="36" customHeight="1" spans="1:7">
      <c r="A100" s="28"/>
      <c r="B100" s="22"/>
      <c r="C100" s="85" t="s">
        <v>123</v>
      </c>
      <c r="D100" s="24"/>
      <c r="E100" s="53">
        <v>10000</v>
      </c>
      <c r="F100" s="32" t="s">
        <v>120</v>
      </c>
      <c r="G100" s="32" t="s">
        <v>124</v>
      </c>
    </row>
    <row r="101" spans="1:7">
      <c r="A101" s="90"/>
      <c r="B101" s="91"/>
      <c r="C101" s="92" t="s">
        <v>113</v>
      </c>
      <c r="D101" s="93"/>
      <c r="E101" s="94">
        <f>SUM(E99:E100)</f>
        <v>10000</v>
      </c>
      <c r="F101" s="95"/>
      <c r="G101" s="95"/>
    </row>
    <row r="102" spans="1:7">
      <c r="A102" s="22"/>
      <c r="B102" s="22"/>
      <c r="C102" s="22"/>
      <c r="D102" s="24"/>
      <c r="E102" s="96">
        <f>E66+E86+E91+E96+E101</f>
        <v>2758779.9634</v>
      </c>
      <c r="F102" s="26"/>
      <c r="G102" s="26"/>
    </row>
    <row r="103" spans="1:7">
      <c r="A103" s="22"/>
      <c r="B103" s="22"/>
      <c r="C103" s="22"/>
      <c r="D103" s="24"/>
      <c r="E103" s="22"/>
      <c r="F103" s="26"/>
      <c r="G103" s="26"/>
    </row>
    <row r="104" spans="1:7">
      <c r="A104" s="22"/>
      <c r="B104" s="22"/>
      <c r="C104" s="22"/>
      <c r="D104" s="24"/>
      <c r="E104" s="22"/>
      <c r="F104" s="26"/>
      <c r="G104" s="26"/>
    </row>
    <row r="105" spans="1:7">
      <c r="A105" s="22"/>
      <c r="B105" s="22"/>
      <c r="C105" s="22"/>
      <c r="D105" s="24"/>
      <c r="E105" s="22"/>
      <c r="F105" s="26"/>
      <c r="G105" s="26"/>
    </row>
    <row r="106" spans="1:7">
      <c r="A106" s="22"/>
      <c r="B106" s="22"/>
      <c r="C106" s="22"/>
      <c r="D106" s="24"/>
      <c r="E106" s="22"/>
      <c r="F106" s="26"/>
      <c r="G106" s="26"/>
    </row>
    <row r="107" spans="1:7">
      <c r="A107" s="22"/>
      <c r="B107" s="22"/>
      <c r="C107" s="22"/>
      <c r="D107" s="24"/>
      <c r="E107" s="22"/>
      <c r="F107" s="26"/>
      <c r="G107" s="26"/>
    </row>
    <row r="108" spans="1:7">
      <c r="A108" s="22"/>
      <c r="B108" s="22"/>
      <c r="C108" s="22"/>
      <c r="D108" s="24"/>
      <c r="E108" s="22"/>
      <c r="F108" s="26"/>
      <c r="G108" s="26"/>
    </row>
    <row r="109" ht="16.5" customHeight="1" spans="1:7">
      <c r="A109" s="66"/>
      <c r="B109" s="61" t="s">
        <v>125</v>
      </c>
      <c r="C109" s="97"/>
      <c r="D109" s="62"/>
      <c r="E109" s="47"/>
      <c r="F109" s="98"/>
      <c r="G109" s="99"/>
    </row>
    <row r="110" ht="55.2" spans="1:7">
      <c r="A110" s="28"/>
      <c r="B110" s="22"/>
      <c r="C110" s="85" t="s">
        <v>126</v>
      </c>
      <c r="D110" s="24"/>
      <c r="E110" s="53">
        <v>1822743.8</v>
      </c>
      <c r="F110" s="32" t="s">
        <v>127</v>
      </c>
      <c r="G110" s="100" t="s">
        <v>128</v>
      </c>
    </row>
    <row r="111" spans="1:7">
      <c r="A111" s="28"/>
      <c r="B111" s="22"/>
      <c r="C111" s="101" t="s">
        <v>113</v>
      </c>
      <c r="D111" s="50"/>
      <c r="E111" s="102">
        <f>E110</f>
        <v>1822743.8</v>
      </c>
      <c r="F111" s="32"/>
      <c r="G111" s="100"/>
    </row>
    <row r="112" ht="16.5" customHeight="1" spans="1:7">
      <c r="A112" s="28"/>
      <c r="B112" s="22" t="s">
        <v>129</v>
      </c>
      <c r="C112" s="23"/>
      <c r="D112" s="24"/>
      <c r="E112" s="25" t="s">
        <v>130</v>
      </c>
      <c r="F112" s="32" t="s">
        <v>131</v>
      </c>
      <c r="G112" s="103"/>
    </row>
    <row r="113" ht="41.4" spans="1:7">
      <c r="A113" s="28"/>
      <c r="B113" s="22"/>
      <c r="C113" s="85" t="s">
        <v>132</v>
      </c>
      <c r="D113" s="24"/>
      <c r="E113" s="53">
        <v>147970.79</v>
      </c>
      <c r="F113" s="32"/>
      <c r="G113" s="103" t="s">
        <v>133</v>
      </c>
    </row>
    <row r="114" ht="51" customHeight="1" spans="1:7">
      <c r="A114" s="28"/>
      <c r="B114" s="22"/>
      <c r="C114" s="100" t="s">
        <v>134</v>
      </c>
      <c r="D114" s="24"/>
      <c r="E114" s="53">
        <v>345265.17</v>
      </c>
      <c r="F114" s="32"/>
      <c r="G114" s="103" t="s">
        <v>135</v>
      </c>
    </row>
    <row r="115" spans="1:7">
      <c r="A115" s="28"/>
      <c r="B115" s="22"/>
      <c r="C115" s="86" t="s">
        <v>113</v>
      </c>
      <c r="D115" s="24"/>
      <c r="E115" s="87">
        <f>E113+E114</f>
        <v>493235.96</v>
      </c>
      <c r="F115" s="32"/>
      <c r="G115" s="104"/>
    </row>
    <row r="116" spans="1:7">
      <c r="A116" s="28"/>
      <c r="B116" s="22"/>
      <c r="C116" s="23"/>
      <c r="D116" s="24"/>
      <c r="E116" s="105"/>
      <c r="F116" s="27"/>
      <c r="G116" s="106"/>
    </row>
    <row r="117" spans="1:7">
      <c r="A117" s="28"/>
      <c r="B117" s="22"/>
      <c r="C117" s="23"/>
      <c r="D117" s="24"/>
      <c r="E117" s="25"/>
      <c r="F117" s="27"/>
      <c r="G117" s="106"/>
    </row>
    <row r="118" spans="1:7">
      <c r="A118" s="28"/>
      <c r="B118" s="22" t="s">
        <v>136</v>
      </c>
      <c r="C118" s="23"/>
      <c r="D118" s="24"/>
      <c r="E118" s="25"/>
      <c r="F118" s="27"/>
      <c r="G118" s="106"/>
    </row>
    <row r="119" ht="50.25" customHeight="1" spans="1:7">
      <c r="A119" s="28"/>
      <c r="B119" s="22"/>
      <c r="C119" s="85" t="s">
        <v>137</v>
      </c>
      <c r="D119" s="24"/>
      <c r="E119" s="53">
        <v>98647.19</v>
      </c>
      <c r="F119" s="107" t="s">
        <v>138</v>
      </c>
      <c r="G119" s="108" t="s">
        <v>139</v>
      </c>
    </row>
    <row r="120" ht="13.2" customHeight="1" spans="1:7">
      <c r="A120" s="28"/>
      <c r="B120" s="22"/>
      <c r="C120" s="85" t="s">
        <v>140</v>
      </c>
      <c r="D120" s="24"/>
      <c r="E120" s="53">
        <v>91137.19</v>
      </c>
      <c r="F120" s="107"/>
      <c r="G120" s="108"/>
    </row>
    <row r="121" spans="1:7">
      <c r="A121" s="28"/>
      <c r="B121" s="22"/>
      <c r="C121" s="23" t="s">
        <v>141</v>
      </c>
      <c r="D121" s="24"/>
      <c r="E121" s="36">
        <v>1200</v>
      </c>
      <c r="F121" s="27"/>
      <c r="G121" s="106"/>
    </row>
    <row r="122" spans="1:7">
      <c r="A122" s="28"/>
      <c r="B122" s="22"/>
      <c r="C122" s="86" t="s">
        <v>113</v>
      </c>
      <c r="D122" s="24"/>
      <c r="E122" s="87">
        <f>E121+E120+E119</f>
        <v>190984.38</v>
      </c>
      <c r="F122" s="27"/>
      <c r="G122" s="106"/>
    </row>
    <row r="123" spans="1:7">
      <c r="A123" s="90"/>
      <c r="B123" s="91"/>
      <c r="C123" s="109"/>
      <c r="D123" s="93"/>
      <c r="E123" s="110"/>
      <c r="F123" s="111"/>
      <c r="G123" s="112"/>
    </row>
    <row r="124" spans="1:7">
      <c r="A124" s="113" t="s">
        <v>142</v>
      </c>
      <c r="B124" s="114"/>
      <c r="C124" s="115"/>
      <c r="D124" s="116"/>
      <c r="E124" s="56">
        <f>E122+E115+E111+E101+E96+E91+E86</f>
        <v>3619764.14</v>
      </c>
      <c r="F124" s="117"/>
      <c r="G124" s="118"/>
    </row>
    <row r="125" spans="1:7">
      <c r="A125" s="90"/>
      <c r="B125" s="91"/>
      <c r="C125" s="109"/>
      <c r="D125" s="24"/>
      <c r="E125" s="110"/>
      <c r="F125" s="27"/>
      <c r="G125" s="112"/>
    </row>
    <row r="126" s="2" customFormat="1" ht="24.6" customHeight="1" spans="1:7">
      <c r="A126" s="79" t="s">
        <v>143</v>
      </c>
      <c r="B126" s="80"/>
      <c r="C126" s="81"/>
      <c r="D126" s="55"/>
      <c r="E126" s="119">
        <f>E124+E80</f>
        <v>9864719.0034</v>
      </c>
      <c r="F126" s="46"/>
      <c r="G126" s="45"/>
    </row>
    <row r="127" spans="1:7">
      <c r="A127" s="120" t="s">
        <v>144</v>
      </c>
      <c r="B127" s="121"/>
      <c r="C127" s="122"/>
      <c r="D127" s="123"/>
      <c r="E127" s="124"/>
      <c r="F127" s="125"/>
      <c r="G127" s="126"/>
    </row>
    <row r="128" spans="1:7">
      <c r="A128" s="29" t="s">
        <v>145</v>
      </c>
      <c r="B128" s="22"/>
      <c r="C128" s="22"/>
      <c r="D128" s="24"/>
      <c r="E128" s="96"/>
      <c r="F128" s="26"/>
      <c r="G128" s="26"/>
    </row>
    <row r="129" spans="1:7">
      <c r="A129" s="22"/>
      <c r="B129" s="22"/>
      <c r="C129" s="22"/>
      <c r="D129" s="24"/>
      <c r="E129" s="96">
        <f>E23-E126</f>
        <v>-0.00339999981224537</v>
      </c>
      <c r="F129" s="26"/>
      <c r="G129" s="48"/>
    </row>
    <row r="130" ht="16.5" customHeight="1" spans="1:9">
      <c r="A130" s="22"/>
      <c r="B130" s="127" t="s">
        <v>146</v>
      </c>
      <c r="C130" s="127"/>
      <c r="D130" s="127"/>
      <c r="E130" s="127"/>
      <c r="F130" s="127"/>
      <c r="G130" s="127"/>
      <c r="H130" s="128"/>
      <c r="I130" s="128"/>
    </row>
    <row r="131" ht="23.25" customHeight="1" spans="1:9">
      <c r="A131" s="22"/>
      <c r="B131" s="129"/>
      <c r="C131" s="129"/>
      <c r="D131" s="129"/>
      <c r="E131" s="129"/>
      <c r="F131" s="129"/>
      <c r="G131" s="129"/>
      <c r="H131" s="128"/>
      <c r="I131" s="128"/>
    </row>
    <row r="132" ht="67.5" customHeight="1" spans="1:9">
      <c r="A132" s="22"/>
      <c r="B132" s="129" t="s">
        <v>147</v>
      </c>
      <c r="C132" s="129"/>
      <c r="D132" s="129"/>
      <c r="E132" s="129"/>
      <c r="F132" s="129"/>
      <c r="G132" s="129"/>
      <c r="H132" s="128"/>
      <c r="I132" s="128"/>
    </row>
    <row r="133" ht="15.6" spans="1:9">
      <c r="A133" s="22"/>
      <c r="B133" s="130" t="s">
        <v>148</v>
      </c>
      <c r="C133" s="130"/>
      <c r="D133" s="130"/>
      <c r="E133" s="130"/>
      <c r="F133" s="130"/>
      <c r="G133" s="130"/>
      <c r="H133" s="131"/>
      <c r="I133" s="131"/>
    </row>
    <row r="134" ht="65.25" customHeight="1" spans="1:9">
      <c r="A134" s="22"/>
      <c r="B134" s="129" t="s">
        <v>149</v>
      </c>
      <c r="C134" s="129"/>
      <c r="D134" s="129"/>
      <c r="E134" s="129"/>
      <c r="F134" s="129"/>
      <c r="G134" s="129"/>
      <c r="H134" s="128"/>
      <c r="I134" s="128"/>
    </row>
  </sheetData>
  <mergeCells count="29">
    <mergeCell ref="A1:G1"/>
    <mergeCell ref="A2:G2"/>
    <mergeCell ref="C3:G3"/>
    <mergeCell ref="C4:G4"/>
    <mergeCell ref="C5:G5"/>
    <mergeCell ref="A9:C9"/>
    <mergeCell ref="A23:C23"/>
    <mergeCell ref="A38:C38"/>
    <mergeCell ref="B39:C39"/>
    <mergeCell ref="A66:C66"/>
    <mergeCell ref="A72:C72"/>
    <mergeCell ref="A78:C78"/>
    <mergeCell ref="A80:C80"/>
    <mergeCell ref="A82:C82"/>
    <mergeCell ref="A126:C126"/>
    <mergeCell ref="B130:G130"/>
    <mergeCell ref="B131:G131"/>
    <mergeCell ref="B132:G132"/>
    <mergeCell ref="B133:G133"/>
    <mergeCell ref="B134:G134"/>
    <mergeCell ref="F12:F22"/>
    <mergeCell ref="F29:F37"/>
    <mergeCell ref="F40:F55"/>
    <mergeCell ref="F61:F65"/>
    <mergeCell ref="F112:F114"/>
    <mergeCell ref="G12:G22"/>
    <mergeCell ref="G29:G37"/>
    <mergeCell ref="G40:G55"/>
    <mergeCell ref="G61:G65"/>
  </mergeCells>
  <pageMargins left="0.25" right="0.25" top="0.75" bottom="0.75" header="0.3" footer="0.3"/>
  <pageSetup paperSize="5"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Sample Annual Budget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SYT</dc:creator>
  <cp:lastModifiedBy>OB OPTIMA</cp:lastModifiedBy>
  <dcterms:created xsi:type="dcterms:W3CDTF">2026-03-22T10:09:47Z</dcterms:created>
  <dcterms:modified xsi:type="dcterms:W3CDTF">2026-03-22T10:09:59Z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D9E27624FD4F4963897ED7298B941F3D_11</vt:lpwstr>
  </property>
  <property fmtid="{D5CDD505-2E9C-101B-9397-08002B2CF9AE}" pid="3" name="KSOProductBuildVer">
    <vt:lpwstr>1033-12.2.0.23196</vt:lpwstr>
  </property>
</Properties>
</file>